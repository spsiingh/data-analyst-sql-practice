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 P SINGH\Crio.Do\"/>
    </mc:Choice>
  </mc:AlternateContent>
  <xr:revisionPtr revIDLastSave="0" documentId="13_ncr:1_{6E89CD1B-62A9-4686-BAAE-BE8C4F8C836D}" xr6:coauthVersionLast="47" xr6:coauthVersionMax="47" xr10:uidLastSave="{00000000-0000-0000-0000-000000000000}"/>
  <bookViews>
    <workbookView xWindow="-120" yWindow="-120" windowWidth="29040" windowHeight="15720" activeTab="2" xr2:uid="{3338849C-7A83-4BAC-ACEA-8A7F717B035B}"/>
  </bookViews>
  <sheets>
    <sheet name="Sheet2" sheetId="2" r:id="rId1"/>
    <sheet name="Excel Practice" sheetId="1" r:id="rId2"/>
    <sheet name="25 sep 2026" sheetId="3" r:id="rId3"/>
  </sheet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7" i="3" l="1" a="1"/>
  <c r="N27" i="3" s="1"/>
  <c r="O27" i="3" a="1"/>
  <c r="O27" i="3" s="1"/>
  <c r="O26" i="3"/>
  <c r="O25" i="3"/>
  <c r="O24" i="3"/>
  <c r="O23" i="3"/>
  <c r="O22" i="3"/>
  <c r="F4" i="3" a="1"/>
  <c r="F4" i="3"/>
  <c r="F5" i="3" a="1"/>
  <c r="F5" i="3"/>
  <c r="F6" i="3" a="1"/>
  <c r="F6" i="3"/>
  <c r="F7" i="3" a="1"/>
  <c r="F7" i="3"/>
  <c r="F8" i="3" a="1"/>
  <c r="F8" i="3"/>
  <c r="F9" i="3" a="1"/>
  <c r="F9" i="3"/>
  <c r="F10" i="3" a="1"/>
  <c r="F10" i="3"/>
  <c r="F3" i="3" a="1"/>
  <c r="F3" i="3" s="1"/>
  <c r="O21" i="3"/>
  <c r="O20" i="3"/>
  <c r="O19" i="3"/>
  <c r="O18" i="3"/>
  <c r="O17" i="3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F49" i="1"/>
  <c r="F50" i="1"/>
  <c r="F48" i="1"/>
  <c r="F47" i="1"/>
  <c r="F46" i="1"/>
  <c r="F45" i="1"/>
  <c r="F44" i="1"/>
  <c r="F43" i="1"/>
  <c r="F42" i="1"/>
  <c r="F41" i="1"/>
  <c r="F40" i="1"/>
  <c r="F39" i="1"/>
  <c r="H22" i="1"/>
  <c r="H21" i="1"/>
  <c r="G19" i="1"/>
  <c r="K20" i="1"/>
  <c r="K19" i="1"/>
  <c r="K18" i="1"/>
  <c r="K17" i="1"/>
  <c r="K16" i="1" a="1"/>
  <c r="K16" i="1" s="1"/>
  <c r="K15" i="1" a="1"/>
  <c r="K15" i="1" s="1"/>
  <c r="K14" i="1"/>
  <c r="K10" i="1"/>
  <c r="J12" i="1"/>
  <c r="J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<sst xmlns="http://schemas.openxmlformats.org/spreadsheetml/2006/main" count="97" uniqueCount="37">
  <si>
    <t>Employee</t>
  </si>
  <si>
    <t>Department</t>
  </si>
  <si>
    <t>Salary</t>
  </si>
  <si>
    <t>Experience</t>
  </si>
  <si>
    <t>City</t>
  </si>
  <si>
    <t>Amit</t>
  </si>
  <si>
    <t>Sales</t>
  </si>
  <si>
    <t>Indore</t>
  </si>
  <si>
    <t>Ravi</t>
  </si>
  <si>
    <t>IT</t>
  </si>
  <si>
    <t>Bhopal</t>
  </si>
  <si>
    <t>Neha</t>
  </si>
  <si>
    <t>Pooja</t>
  </si>
  <si>
    <t>HR</t>
  </si>
  <si>
    <t>Delhi</t>
  </si>
  <si>
    <t>Mohit</t>
  </si>
  <si>
    <t>Rahul</t>
  </si>
  <si>
    <t>Ankit</t>
  </si>
  <si>
    <t>Priya</t>
  </si>
  <si>
    <t>Row Labels</t>
  </si>
  <si>
    <t>Grand Total</t>
  </si>
  <si>
    <t>(Multiple Items)</t>
  </si>
  <si>
    <t>Rating</t>
  </si>
  <si>
    <t>Rohit</t>
  </si>
  <si>
    <t>Vijay</t>
  </si>
  <si>
    <t>Salary Status</t>
  </si>
  <si>
    <t>Most importment formula</t>
  </si>
  <si>
    <r>
      <t xml:space="preserve">Sales department ka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nikalo.</t>
    </r>
  </si>
  <si>
    <r>
      <t xml:space="preserve">IT department mein </t>
    </r>
    <r>
      <rPr>
        <b/>
        <sz val="11"/>
        <color theme="1"/>
        <rFont val="Calibri"/>
        <family val="2"/>
        <scheme val="minor"/>
      </rPr>
      <t>salary &gt; ₹65,000</t>
    </r>
    <r>
      <rPr>
        <sz val="11"/>
        <color theme="1"/>
        <rFont val="Calibri"/>
        <family val="2"/>
        <scheme val="minor"/>
      </rPr>
      <t xml:space="preserve"> wale employees ki total salary nikalo.</t>
    </r>
  </si>
  <si>
    <r>
      <t xml:space="preserve">Bhopal city ke employees ki </t>
    </r>
    <r>
      <rPr>
        <b/>
        <sz val="11"/>
        <color theme="1"/>
        <rFont val="Calibri"/>
        <family val="2"/>
        <scheme val="minor"/>
      </rPr>
      <t>average salary</t>
    </r>
    <r>
      <rPr>
        <sz val="11"/>
        <color theme="1"/>
        <rFont val="Calibri"/>
        <family val="2"/>
        <scheme val="minor"/>
      </rPr>
      <t xml:space="preserve"> nikalo</t>
    </r>
  </si>
  <si>
    <r>
      <t xml:space="preserve">IT department mein </t>
    </r>
    <r>
      <rPr>
        <b/>
        <sz val="11"/>
        <color theme="1"/>
        <rFont val="Calibri"/>
        <family val="2"/>
        <scheme val="minor"/>
      </rPr>
      <t>Experience &gt;= 3 years</t>
    </r>
    <r>
      <rPr>
        <sz val="11"/>
        <color theme="1"/>
        <rFont val="Calibri"/>
        <family val="2"/>
        <scheme val="minor"/>
      </rPr>
      <t xml:space="preserve"> wale employees ki average salary nikalo.</t>
    </r>
  </si>
  <si>
    <r>
      <t xml:space="preserve">Aise employees ki </t>
    </r>
    <r>
      <rPr>
        <b/>
        <sz val="11"/>
        <color theme="1"/>
        <rFont val="Calibri"/>
        <family val="2"/>
        <scheme val="minor"/>
      </rPr>
      <t>count</t>
    </r>
    <r>
      <rPr>
        <sz val="11"/>
        <color theme="1"/>
        <rFont val="Calibri"/>
        <family val="2"/>
        <scheme val="minor"/>
      </rPr>
      <t xml:space="preserve"> nikalo jinki salary </t>
    </r>
    <r>
      <rPr>
        <b/>
        <sz val="11"/>
        <color theme="1"/>
        <rFont val="Calibri"/>
        <family val="2"/>
        <scheme val="minor"/>
      </rPr>
      <t>&gt; ₹60,000</t>
    </r>
    <r>
      <rPr>
        <sz val="11"/>
        <color theme="1"/>
        <rFont val="Calibri"/>
        <family val="2"/>
        <scheme val="minor"/>
      </rPr>
      <t xml:space="preserve"> aur experience </t>
    </r>
    <r>
      <rPr>
        <b/>
        <sz val="11"/>
        <color theme="1"/>
        <rFont val="Calibri"/>
        <family val="2"/>
        <scheme val="minor"/>
      </rPr>
      <t>&gt;= 3 years</t>
    </r>
    <r>
      <rPr>
        <sz val="11"/>
        <color theme="1"/>
        <rFont val="Calibri"/>
        <family val="2"/>
        <scheme val="minor"/>
      </rPr>
      <t xml:space="preserve"> hai</t>
    </r>
  </si>
  <si>
    <r>
      <t xml:space="preserve">Salary ke basis par </t>
    </r>
    <r>
      <rPr>
        <b/>
        <sz val="11"/>
        <color theme="1"/>
        <rFont val="Calibri"/>
        <family val="2"/>
        <scheme val="minor"/>
      </rPr>
      <t>Salary Status</t>
    </r>
    <r>
      <rPr>
        <sz val="11"/>
        <color theme="1"/>
        <rFont val="Calibri"/>
        <family val="2"/>
        <scheme val="minor"/>
      </rPr>
      <t xml:space="preserve"> banao:</t>
    </r>
  </si>
  <si>
    <r>
      <t>XLOOKUP</t>
    </r>
    <r>
      <rPr>
        <sz val="11"/>
        <color theme="1"/>
        <rFont val="Calibri"/>
        <family val="2"/>
        <scheme val="minor"/>
      </rPr>
      <t xml:space="preserve"> use karke </t>
    </r>
    <r>
      <rPr>
        <b/>
        <sz val="11"/>
        <color theme="1"/>
        <rFont val="Calibri"/>
        <family val="2"/>
        <scheme val="minor"/>
      </rPr>
      <t>Ankit ki Salary</t>
    </r>
    <r>
      <rPr>
        <sz val="11"/>
        <color theme="1"/>
        <rFont val="Calibri"/>
        <family val="2"/>
        <scheme val="minor"/>
      </rPr>
      <t xml:space="preserve"> nikalo</t>
    </r>
  </si>
  <si>
    <r>
      <t>XLOOKUP</t>
    </r>
    <r>
      <rPr>
        <sz val="11"/>
        <color theme="1"/>
        <rFont val="Calibri"/>
        <family val="2"/>
        <scheme val="minor"/>
      </rPr>
      <t xml:space="preserve"> use karke </t>
    </r>
    <r>
      <rPr>
        <b/>
        <sz val="11"/>
        <color theme="1"/>
        <rFont val="Calibri"/>
        <family val="2"/>
        <scheme val="minor"/>
      </rPr>
      <t>Priya ki City</t>
    </r>
    <r>
      <rPr>
        <sz val="11"/>
        <color theme="1"/>
        <rFont val="Calibri"/>
        <family val="2"/>
        <scheme val="minor"/>
      </rPr>
      <t xml:space="preserve"> nikalo.</t>
    </r>
  </si>
  <si>
    <r>
      <t>INDEX + MATCH</t>
    </r>
    <r>
      <rPr>
        <sz val="11"/>
        <color theme="1"/>
        <rFont val="Calibri"/>
        <family val="2"/>
        <scheme val="minor"/>
      </rPr>
      <t xml:space="preserve"> use karke </t>
    </r>
    <r>
      <rPr>
        <b/>
        <sz val="11"/>
        <color theme="1"/>
        <rFont val="Calibri"/>
        <family val="2"/>
        <scheme val="minor"/>
      </rPr>
      <t>Mohit ki Salary</t>
    </r>
    <r>
      <rPr>
        <sz val="11"/>
        <color theme="1"/>
        <rFont val="Calibri"/>
        <family val="2"/>
        <scheme val="minor"/>
      </rPr>
      <t xml:space="preserve"> nikalo</t>
    </r>
  </si>
  <si>
    <r>
      <t>Department-wise Average Salary</t>
    </r>
    <r>
      <rPr>
        <sz val="11"/>
        <color theme="1"/>
        <rFont val="Calibri"/>
        <family val="2"/>
        <scheme val="minor"/>
      </rPr>
      <t xml:space="preserve"> nikalo.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</si>
</sst>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7" tint="0.7999816888943144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1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right" vertical="center" wrapText="1"/>
    </xf>
    <xf numFmtId="0" fontId="0" fillId="3" borderId="0" xfId="0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HARSH PRATAP" refreshedDate="46279.796284259261" createdVersion="8" refreshedVersion="8" minRefreshableVersion="3" recordCount="8" xr:uid="{C2046C61-0EA9-42EA-8916-AD76E5D474A3}">
  <cacheSource type="worksheet">
    <worksheetSource ref="E4:I12" sheet="Excel Practice"/>
  </cacheSource>
  <cacheFields count="5">
    <cacheField name="Employee" numFmtId="0">
      <sharedItems count="8">
        <s v="Amit"/>
        <s v="Ravi"/>
        <s v="Neha"/>
        <s v="Pooja"/>
        <s v="Mohit"/>
        <s v="Rahul"/>
        <s v="Ankit"/>
        <s v="Priya"/>
      </sharedItems>
    </cacheField>
    <cacheField name="Department" numFmtId="0">
      <sharedItems count="3">
        <s v="Sales"/>
        <s v="IT"/>
        <s v="HR"/>
      </sharedItems>
    </cacheField>
    <cacheField name="Salary" numFmtId="3">
      <sharedItems containsSemiMixedTypes="0" containsString="0" containsNumber="1" containsInteger="1" minValue="45000" maxValue="80000" count="8">
        <n v="50000"/>
        <n v="70000"/>
        <n v="60000"/>
        <n v="45000"/>
        <n v="80000"/>
        <n v="55000"/>
        <n v="65000"/>
        <n v="75000"/>
      </sharedItems>
    </cacheField>
    <cacheField name="Experience" numFmtId="0">
      <sharedItems containsSemiMixedTypes="0" containsString="0" containsNumber="1" containsInteger="1" minValue="1" maxValue="5"/>
    </cacheField>
    <cacheField name="City" numFmtId="0">
      <sharedItems count="3">
        <s v="Indore"/>
        <s v="Bhopal"/>
        <s v="Delh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x v="0"/>
    <n v="2"/>
    <x v="0"/>
  </r>
  <r>
    <x v="1"/>
    <x v="1"/>
    <x v="1"/>
    <n v="4"/>
    <x v="1"/>
  </r>
  <r>
    <x v="2"/>
    <x v="0"/>
    <x v="2"/>
    <n v="3"/>
    <x v="0"/>
  </r>
  <r>
    <x v="3"/>
    <x v="2"/>
    <x v="3"/>
    <n v="1"/>
    <x v="2"/>
  </r>
  <r>
    <x v="4"/>
    <x v="1"/>
    <x v="4"/>
    <n v="5"/>
    <x v="1"/>
  </r>
  <r>
    <x v="5"/>
    <x v="2"/>
    <x v="5"/>
    <n v="3"/>
    <x v="2"/>
  </r>
  <r>
    <x v="6"/>
    <x v="1"/>
    <x v="6"/>
    <n v="2"/>
    <x v="0"/>
  </r>
  <r>
    <x v="7"/>
    <x v="0"/>
    <x v="7"/>
    <n v="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74D02E-DFD0-4F2B-A0E4-7DA8BB6FA5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" firstHeaderRow="1" firstDataRow="1" firstDataCol="1" rowPageCount="1" colPageCount="1"/>
  <pivotFields count="5">
    <pivotField showAll="0">
      <items count="9">
        <item x="0"/>
        <item x="6"/>
        <item x="4"/>
        <item x="2"/>
        <item x="3"/>
        <item x="7"/>
        <item x="5"/>
        <item x="1"/>
        <item t="default"/>
      </items>
    </pivotField>
    <pivotField axis="axisRow" showAll="0">
      <items count="4">
        <item x="2"/>
        <item x="1"/>
        <item x="0"/>
        <item t="default"/>
      </items>
    </pivotField>
    <pivotField axis="axisPage" numFmtId="3" multipleItemSelectionAllowed="1" showAll="0">
      <items count="9">
        <item x="3"/>
        <item x="0"/>
        <item x="5"/>
        <item x="2"/>
        <item h="1" x="6"/>
        <item h="1" x="1"/>
        <item h="1" x="7"/>
        <item h="1" x="4"/>
        <item t="default"/>
      </items>
    </pivotField>
    <pivotField showAll="0"/>
    <pivotField showAll="0">
      <items count="4">
        <item x="1"/>
        <item x="2"/>
        <item x="0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F76D3-D155-4D7F-8161-B04BE1ED175A}">
  <dimension ref="A1:B6"/>
  <sheetViews>
    <sheetView workbookViewId="0">
      <selection activeCell="F8" sqref="F8"/>
    </sheetView>
  </sheetViews>
  <sheetFormatPr defaultRowHeight="15"/>
  <cols>
    <col min="1" max="1" width="13.140625" bestFit="1" customWidth="1"/>
    <col min="2" max="2" width="17.85546875" bestFit="1" customWidth="1"/>
    <col min="3" max="9" width="6.5703125" bestFit="1" customWidth="1"/>
    <col min="10" max="10" width="11.28515625" bestFit="1" customWidth="1"/>
  </cols>
  <sheetData>
    <row r="1" spans="1:2">
      <c r="A1" s="5" t="s">
        <v>2</v>
      </c>
      <c r="B1" t="s">
        <v>21</v>
      </c>
    </row>
    <row r="3" spans="1:2">
      <c r="A3" s="5" t="s">
        <v>19</v>
      </c>
    </row>
    <row r="4" spans="1:2">
      <c r="A4" s="6" t="s">
        <v>13</v>
      </c>
    </row>
    <row r="5" spans="1:2">
      <c r="A5" s="6" t="s">
        <v>6</v>
      </c>
    </row>
    <row r="6" spans="1:2">
      <c r="A6" s="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CDB4-BD0B-4EE8-9C00-38198317F428}">
  <dimension ref="A4:L51"/>
  <sheetViews>
    <sheetView topLeftCell="A21" workbookViewId="0">
      <selection activeCell="F34" sqref="F34"/>
    </sheetView>
  </sheetViews>
  <sheetFormatPr defaultRowHeight="15"/>
  <cols>
    <col min="1" max="1" width="14.140625" customWidth="1"/>
    <col min="2" max="2" width="13" customWidth="1"/>
    <col min="5" max="5" width="15.42578125" customWidth="1"/>
    <col min="6" max="6" width="16.140625" customWidth="1"/>
    <col min="7" max="7" width="16.7109375" customWidth="1"/>
    <col min="8" max="8" width="11" customWidth="1"/>
  </cols>
  <sheetData>
    <row r="4" spans="5:12">
      <c r="E4" s="4" t="s">
        <v>0</v>
      </c>
      <c r="F4" s="4" t="s">
        <v>1</v>
      </c>
      <c r="G4" s="4" t="s">
        <v>2</v>
      </c>
      <c r="H4" s="4" t="s">
        <v>3</v>
      </c>
      <c r="I4" s="4" t="s">
        <v>4</v>
      </c>
    </row>
    <row r="5" spans="5:12">
      <c r="E5" s="2" t="s">
        <v>5</v>
      </c>
      <c r="F5" s="2" t="s">
        <v>6</v>
      </c>
      <c r="G5" s="3">
        <v>50000</v>
      </c>
      <c r="H5" s="1">
        <v>2</v>
      </c>
      <c r="I5" s="2" t="s">
        <v>7</v>
      </c>
    </row>
    <row r="6" spans="5:12">
      <c r="E6" s="2" t="s">
        <v>8</v>
      </c>
      <c r="F6" s="2" t="s">
        <v>9</v>
      </c>
      <c r="G6" s="3">
        <v>70000</v>
      </c>
      <c r="H6" s="1">
        <v>4</v>
      </c>
      <c r="I6" s="2" t="s">
        <v>10</v>
      </c>
    </row>
    <row r="7" spans="5:12">
      <c r="E7" s="2" t="s">
        <v>11</v>
      </c>
      <c r="F7" s="2" t="s">
        <v>6</v>
      </c>
      <c r="G7" s="3">
        <v>60000</v>
      </c>
      <c r="H7" s="1">
        <v>3</v>
      </c>
      <c r="I7" s="2" t="s">
        <v>7</v>
      </c>
    </row>
    <row r="8" spans="5:12">
      <c r="E8" s="2" t="s">
        <v>12</v>
      </c>
      <c r="F8" s="2" t="s">
        <v>13</v>
      </c>
      <c r="G8" s="3">
        <v>45000</v>
      </c>
      <c r="H8" s="1">
        <v>1</v>
      </c>
      <c r="I8" s="2" t="s">
        <v>14</v>
      </c>
    </row>
    <row r="9" spans="5:12">
      <c r="E9" s="2" t="s">
        <v>15</v>
      </c>
      <c r="F9" s="2" t="s">
        <v>9</v>
      </c>
      <c r="G9" s="3">
        <v>80000</v>
      </c>
      <c r="H9" s="1">
        <v>5</v>
      </c>
      <c r="I9" s="2" t="s">
        <v>10</v>
      </c>
    </row>
    <row r="10" spans="5:12">
      <c r="E10" s="2" t="s">
        <v>16</v>
      </c>
      <c r="F10" s="2" t="s">
        <v>13</v>
      </c>
      <c r="G10" s="3">
        <v>55000</v>
      </c>
      <c r="H10" s="1">
        <v>3</v>
      </c>
      <c r="I10" s="2" t="s">
        <v>14</v>
      </c>
      <c r="K10" t="str">
        <f>_xlfn.XLOOKUP(E6,E5:E12,I5:I12)</f>
        <v>Bhopal</v>
      </c>
    </row>
    <row r="11" spans="5:12">
      <c r="E11" s="2" t="s">
        <v>17</v>
      </c>
      <c r="F11" s="2" t="s">
        <v>9</v>
      </c>
      <c r="G11" s="3">
        <v>65000</v>
      </c>
      <c r="H11" s="1">
        <v>2</v>
      </c>
      <c r="I11" s="2" t="s">
        <v>7</v>
      </c>
      <c r="J11">
        <f>_xlfn.XLOOKUP(E11,E5:E12,G5:G12)</f>
        <v>65000</v>
      </c>
    </row>
    <row r="12" spans="5:12">
      <c r="E12" s="2" t="s">
        <v>18</v>
      </c>
      <c r="F12" s="2" t="s">
        <v>6</v>
      </c>
      <c r="G12" s="3">
        <v>75000</v>
      </c>
      <c r="H12" s="1">
        <v>4</v>
      </c>
      <c r="I12" s="2" t="s">
        <v>10</v>
      </c>
      <c r="J12">
        <f>_xlfn.XLOOKUP(E12,E6:E13,G6:G13)</f>
        <v>75000</v>
      </c>
    </row>
    <row r="14" spans="5:12">
      <c r="K14" t="str">
        <f>_xlfn.XLOOKUP(E16,E5:E12,I5:I12,"Not Found")</f>
        <v>Not Found</v>
      </c>
    </row>
    <row r="15" spans="5:12">
      <c r="K15" t="str" cm="1">
        <f t="array" ref="K15:L15">_xlfn.XLOOKUP(E11,E5:E12,F5:G12)</f>
        <v>IT</v>
      </c>
      <c r="L15">
        <v>65000</v>
      </c>
    </row>
    <row r="16" spans="5:12">
      <c r="K16" t="str" cm="1">
        <f t="array" ref="K16">_xlfn.XLOOKUP(E16,E5:E12,F5:G12,"Not found")</f>
        <v>Not found</v>
      </c>
    </row>
    <row r="17" spans="1:11">
      <c r="K17" t="str">
        <f>_xlfn.XLOOKUP(E15,E5:E12,F5:F12,"Emp not found")</f>
        <v>Emp not found</v>
      </c>
    </row>
    <row r="18" spans="1:11">
      <c r="K18">
        <f>INDEX(G5:G12,MATCH(E11,E5:E12,0))</f>
        <v>65000</v>
      </c>
    </row>
    <row r="19" spans="1:11">
      <c r="G19">
        <f>COUNTIFS(F5:F12,"sales",G5:G12,"&gt;60000")</f>
        <v>1</v>
      </c>
      <c r="K19">
        <f>INDEX(H5:H12,MATCH(E12,E5:E12,0))</f>
        <v>4</v>
      </c>
    </row>
    <row r="20" spans="1:11">
      <c r="K20" t="str">
        <f>INDEX(I5:I12,MATCH(E9,E5:E12,0))</f>
        <v>Bhopal</v>
      </c>
    </row>
    <row r="21" spans="1:11">
      <c r="H21">
        <f>SUMIF(F5:F12,F5,G5:G12)</f>
        <v>185000</v>
      </c>
    </row>
    <row r="22" spans="1:11">
      <c r="H22">
        <f>AVERAGEIF(F5:F12,F5,G5:G12)</f>
        <v>61666.666666666664</v>
      </c>
    </row>
    <row r="25" spans="1:11">
      <c r="A25" s="7" t="s">
        <v>0</v>
      </c>
      <c r="B25" s="7" t="s">
        <v>1</v>
      </c>
      <c r="C25" s="8" t="s">
        <v>2</v>
      </c>
      <c r="D25" s="8" t="s">
        <v>6</v>
      </c>
      <c r="E25" s="8" t="s">
        <v>22</v>
      </c>
    </row>
    <row r="26" spans="1:11">
      <c r="A26" s="2" t="s">
        <v>16</v>
      </c>
      <c r="B26" s="2" t="s">
        <v>6</v>
      </c>
      <c r="C26" s="1">
        <v>30000</v>
      </c>
      <c r="D26" s="1">
        <v>50000</v>
      </c>
      <c r="E26" s="1">
        <v>4</v>
      </c>
    </row>
    <row r="27" spans="1:11">
      <c r="A27" s="2" t="s">
        <v>5</v>
      </c>
      <c r="B27" s="2" t="s">
        <v>13</v>
      </c>
      <c r="C27" s="1">
        <v>35000</v>
      </c>
      <c r="D27" s="1">
        <v>40000</v>
      </c>
      <c r="E27" s="1">
        <v>3</v>
      </c>
    </row>
    <row r="28" spans="1:11">
      <c r="A28" s="2" t="s">
        <v>11</v>
      </c>
      <c r="B28" s="2" t="s">
        <v>6</v>
      </c>
      <c r="C28" s="1">
        <v>42000</v>
      </c>
      <c r="D28" s="1">
        <v>70000</v>
      </c>
      <c r="E28" s="1">
        <v>5</v>
      </c>
    </row>
    <row r="29" spans="1:11">
      <c r="A29" s="2" t="s">
        <v>18</v>
      </c>
      <c r="B29" s="2" t="s">
        <v>9</v>
      </c>
      <c r="C29" s="1">
        <v>50000</v>
      </c>
      <c r="D29" s="1">
        <v>80000</v>
      </c>
      <c r="E29" s="1">
        <v>4</v>
      </c>
    </row>
    <row r="30" spans="1:11">
      <c r="A30" s="2" t="s">
        <v>23</v>
      </c>
      <c r="B30" s="2" t="s">
        <v>13</v>
      </c>
      <c r="C30" s="1">
        <v>32000</v>
      </c>
      <c r="D30" s="1">
        <v>45000</v>
      </c>
      <c r="E30" s="1">
        <v>2</v>
      </c>
    </row>
    <row r="31" spans="1:11">
      <c r="A31" s="2" t="s">
        <v>17</v>
      </c>
      <c r="B31" s="2" t="s">
        <v>9</v>
      </c>
      <c r="C31" s="1">
        <v>48000</v>
      </c>
      <c r="D31" s="1">
        <v>75000</v>
      </c>
      <c r="E31" s="1">
        <v>5</v>
      </c>
    </row>
    <row r="32" spans="1:11">
      <c r="A32" s="2" t="s">
        <v>12</v>
      </c>
      <c r="B32" s="2" t="s">
        <v>6</v>
      </c>
      <c r="C32" s="1">
        <v>38000</v>
      </c>
      <c r="D32" s="1">
        <v>60000</v>
      </c>
      <c r="E32" s="1">
        <v>4</v>
      </c>
    </row>
    <row r="33" spans="1:6">
      <c r="A33" s="2" t="s">
        <v>24</v>
      </c>
      <c r="B33" s="2" t="s">
        <v>9</v>
      </c>
      <c r="C33" s="1">
        <v>55000</v>
      </c>
      <c r="D33" s="1">
        <v>90000</v>
      </c>
      <c r="E33" s="1">
        <v>5</v>
      </c>
    </row>
    <row r="39" spans="1:6">
      <c r="E39">
        <f>AVERAGEIFS(C26:C33,B26:B33,B31,E26:E33,"=5")</f>
        <v>51500</v>
      </c>
      <c r="F39">
        <f>SUMIF(B26:B33,B29,D26:D33)</f>
        <v>245000</v>
      </c>
    </row>
    <row r="40" spans="1:6">
      <c r="E40">
        <f>COUNTIFS(B26:B33,B27,E26:E33,"&lt;3")</f>
        <v>1</v>
      </c>
      <c r="F40">
        <f>AVERAGEIF(B26:B33,B27,C26:C33)</f>
        <v>33500</v>
      </c>
    </row>
    <row r="41" spans="1:6">
      <c r="E41">
        <f>AVERAGEIFS(D26:D33,B26:B33,B29,E26:E33,"&gt;4")</f>
        <v>82500</v>
      </c>
      <c r="F41">
        <f>COUNTIF(C26:C33,"&gt;40000")</f>
        <v>4</v>
      </c>
    </row>
    <row r="42" spans="1:6">
      <c r="E42">
        <f>SUMIFS(D26:D33,B26:B33,B26,E26:E33,"&lt;4")</f>
        <v>0</v>
      </c>
      <c r="F42">
        <f>COUNTIF(B26:B33,B26)</f>
        <v>3</v>
      </c>
    </row>
    <row r="43" spans="1:6">
      <c r="E43">
        <f>SUMIFS(D26:D33,B26:B33,B27,E26:E33,"&gt;=3")</f>
        <v>40000</v>
      </c>
      <c r="F43">
        <f>_xlfn.MAXIFS(C26:C33,B26:B33,B26)</f>
        <v>42000</v>
      </c>
    </row>
    <row r="44" spans="1:6">
      <c r="E44">
        <f>COUNTIFS(B26:B33,B26,E26:E33,4)</f>
        <v>2</v>
      </c>
      <c r="F44">
        <f>_xlfn.MAXIFS(C26:C33,B26:B33,B29)</f>
        <v>55000</v>
      </c>
    </row>
    <row r="45" spans="1:6">
      <c r="E45">
        <f>SUMIFS(C26:C33,B26:B33,B29,E26:E33,5)</f>
        <v>103000</v>
      </c>
      <c r="F45">
        <f>_xlfn.MINIFS(C26:C33,B26:B33,B26)</f>
        <v>30000</v>
      </c>
    </row>
    <row r="46" spans="1:6">
      <c r="E46">
        <f>AVERAGEIFS(C26:C33,B26:B33,B26,E26:E33,"&gt;=4")</f>
        <v>36666.666666666664</v>
      </c>
      <c r="F46">
        <f>COUNTIF(C26:C33,"&gt;50000")</f>
        <v>1</v>
      </c>
    </row>
    <row r="47" spans="1:6">
      <c r="E47">
        <f>SUMIFS(D26:D33,B26:B33,B29,C26:C33,"&gt;50000")</f>
        <v>90000</v>
      </c>
      <c r="F47">
        <f>COUNTIFS(B26:B33,B29,C26:C33,"&gt;50000")</f>
        <v>1</v>
      </c>
    </row>
    <row r="48" spans="1:6">
      <c r="E48">
        <f>SUMIFS(D26:D33,B26:B33,B26,C26:C33,"&lt;35000")</f>
        <v>50000</v>
      </c>
      <c r="F48">
        <f>SUMIF(B26:B33,B26,C26:C33)</f>
        <v>110000</v>
      </c>
    </row>
    <row r="49" spans="5:6">
      <c r="E49">
        <f>AVERAGEIFS(C26:C33,B26:B33,B27,E26:E33,"&lt;3")</f>
        <v>32000</v>
      </c>
      <c r="F49">
        <f>SUMIFS(D26:D33,B26:B33,B26,E26:E33,"&gt;4")</f>
        <v>70000</v>
      </c>
    </row>
    <row r="50" spans="5:6">
      <c r="E50">
        <f>SUMIFS(C26:C33,B26:B33,B29,E26:E33,"&gt;=4")</f>
        <v>153000</v>
      </c>
      <c r="F50">
        <f>SUMIFS(D26:D33,B26:B33,B26,E26:E33,"&gt;=4")</f>
        <v>180000</v>
      </c>
    </row>
    <row r="51" spans="5:6">
      <c r="E51">
        <f>COUNTIFS(B26:B33,B26,E26:E33,"&lt;4")</f>
        <v>0</v>
      </c>
    </row>
  </sheetData>
  <pageMargins left="0.7" right="0.7" top="0.75" bottom="0.75" header="0.3" footer="0.3"/>
  <ignoredErrors>
    <ignoredError sqref="J1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512B-18E0-4A24-A5E6-EBFA3CC77B08}">
  <dimension ref="A2:R29"/>
  <sheetViews>
    <sheetView tabSelected="1" workbookViewId="0">
      <selection activeCell="H8" sqref="H8"/>
    </sheetView>
  </sheetViews>
  <sheetFormatPr defaultRowHeight="15"/>
  <cols>
    <col min="1" max="1" width="21.140625" customWidth="1"/>
    <col min="2" max="2" width="15" customWidth="1"/>
    <col min="3" max="3" width="13.140625" customWidth="1"/>
    <col min="4" max="4" width="11.85546875" customWidth="1"/>
    <col min="5" max="5" width="16.140625" customWidth="1"/>
    <col min="14" max="14" width="76.5703125" bestFit="1" customWidth="1"/>
  </cols>
  <sheetData>
    <row r="2" spans="1:6" ht="30">
      <c r="A2" s="9" t="s">
        <v>0</v>
      </c>
      <c r="B2" s="9" t="s">
        <v>1</v>
      </c>
      <c r="C2" s="10" t="s">
        <v>2</v>
      </c>
      <c r="D2" s="10" t="s">
        <v>3</v>
      </c>
      <c r="E2" s="9" t="s">
        <v>4</v>
      </c>
      <c r="F2" s="9" t="s">
        <v>25</v>
      </c>
    </row>
    <row r="3" spans="1:6">
      <c r="A3" s="2" t="s">
        <v>5</v>
      </c>
      <c r="B3" s="2" t="s">
        <v>6</v>
      </c>
      <c r="C3" s="3">
        <v>50000</v>
      </c>
      <c r="D3" s="1">
        <v>2</v>
      </c>
      <c r="E3" s="2" t="s">
        <v>7</v>
      </c>
      <c r="F3" t="str" cm="1">
        <f t="array" ref="F3">_xlfn.IFS(C3&gt;=75000,"High",C3&gt;=60000,"Medium",TRUE,"Low")</f>
        <v>Low</v>
      </c>
    </row>
    <row r="4" spans="1:6">
      <c r="A4" s="2" t="s">
        <v>8</v>
      </c>
      <c r="B4" s="2" t="s">
        <v>9</v>
      </c>
      <c r="C4" s="3">
        <v>70000</v>
      </c>
      <c r="D4" s="1">
        <v>4</v>
      </c>
      <c r="E4" s="2" t="s">
        <v>10</v>
      </c>
      <c r="F4" t="str" cm="1">
        <f t="array" ref="F4">_xlfn.IFS(C4&gt;=75000,"High",C4&gt;=60000,"Medium",TRUE,"Low")</f>
        <v>Medium</v>
      </c>
    </row>
    <row r="5" spans="1:6">
      <c r="A5" s="2" t="s">
        <v>11</v>
      </c>
      <c r="B5" s="2" t="s">
        <v>6</v>
      </c>
      <c r="C5" s="3">
        <v>60000</v>
      </c>
      <c r="D5" s="1">
        <v>3</v>
      </c>
      <c r="E5" s="2" t="s">
        <v>7</v>
      </c>
      <c r="F5" t="str" cm="1">
        <f t="array" ref="F5">_xlfn.IFS(C5&gt;=75000,"High",C5&gt;=60000,"Medium",TRUE,"Low")</f>
        <v>Medium</v>
      </c>
    </row>
    <row r="6" spans="1:6">
      <c r="A6" s="2" t="s">
        <v>12</v>
      </c>
      <c r="B6" s="2" t="s">
        <v>13</v>
      </c>
      <c r="C6" s="3">
        <v>45000</v>
      </c>
      <c r="D6" s="1">
        <v>1</v>
      </c>
      <c r="E6" s="2" t="s">
        <v>14</v>
      </c>
      <c r="F6" t="str" cm="1">
        <f t="array" ref="F6">_xlfn.IFS(C6&gt;=75000,"High",C6&gt;=60000,"Medium",TRUE,"Low")</f>
        <v>Low</v>
      </c>
    </row>
    <row r="7" spans="1:6">
      <c r="A7" s="2" t="s">
        <v>15</v>
      </c>
      <c r="B7" s="2" t="s">
        <v>9</v>
      </c>
      <c r="C7" s="3">
        <v>80000</v>
      </c>
      <c r="D7" s="1">
        <v>5</v>
      </c>
      <c r="E7" s="2" t="s">
        <v>10</v>
      </c>
      <c r="F7" t="str" cm="1">
        <f t="array" ref="F7">_xlfn.IFS(C7&gt;=75000,"High",C7&gt;=60000,"Medium",TRUE,"Low")</f>
        <v>High</v>
      </c>
    </row>
    <row r="8" spans="1:6">
      <c r="A8" s="2" t="s">
        <v>16</v>
      </c>
      <c r="B8" s="2" t="s">
        <v>13</v>
      </c>
      <c r="C8" s="3">
        <v>55000</v>
      </c>
      <c r="D8" s="1">
        <v>3</v>
      </c>
      <c r="E8" s="2" t="s">
        <v>14</v>
      </c>
      <c r="F8" t="str" cm="1">
        <f t="array" ref="F8">_xlfn.IFS(C8&gt;=75000,"High",C8&gt;=60000,"Medium",TRUE,"Low")</f>
        <v>Low</v>
      </c>
    </row>
    <row r="9" spans="1:6">
      <c r="A9" s="2" t="s">
        <v>17</v>
      </c>
      <c r="B9" s="2" t="s">
        <v>9</v>
      </c>
      <c r="C9" s="3">
        <v>65000</v>
      </c>
      <c r="D9" s="1">
        <v>2</v>
      </c>
      <c r="E9" s="2" t="s">
        <v>7</v>
      </c>
      <c r="F9" t="str" cm="1">
        <f t="array" ref="F9">_xlfn.IFS(C9&gt;=75000,"High",C9&gt;=60000,"Medium",TRUE,"Low")</f>
        <v>Medium</v>
      </c>
    </row>
    <row r="10" spans="1:6">
      <c r="A10" s="2" t="s">
        <v>18</v>
      </c>
      <c r="B10" s="2" t="s">
        <v>6</v>
      </c>
      <c r="C10" s="3">
        <v>75000</v>
      </c>
      <c r="D10" s="1">
        <v>4</v>
      </c>
      <c r="E10" s="2" t="s">
        <v>10</v>
      </c>
      <c r="F10" t="str" cm="1">
        <f t="array" ref="F10">_xlfn.IFS(C10&gt;=75000,"High",C10&gt;=60000,"Medium",TRUE,"Low")</f>
        <v>High</v>
      </c>
    </row>
    <row r="17" spans="13:18">
      <c r="M17">
        <v>1</v>
      </c>
      <c r="N17" t="s">
        <v>27</v>
      </c>
      <c r="O17">
        <f>SUMIF(B3:B10,B3,C3:C10)</f>
        <v>185000</v>
      </c>
    </row>
    <row r="18" spans="13:18">
      <c r="M18">
        <v>2</v>
      </c>
      <c r="N18" t="s">
        <v>28</v>
      </c>
      <c r="O18">
        <f>SUMIFS(C3:C10,B3:B10,B4,C3:C10,"&gt;65000")</f>
        <v>150000</v>
      </c>
    </row>
    <row r="19" spans="13:18">
      <c r="M19">
        <v>3</v>
      </c>
      <c r="N19" t="s">
        <v>29</v>
      </c>
      <c r="O19">
        <f>AVERAGEIF(E3:E10,E4,C3:C10)</f>
        <v>75000</v>
      </c>
    </row>
    <row r="20" spans="13:18">
      <c r="M20">
        <v>4</v>
      </c>
      <c r="N20" t="s">
        <v>30</v>
      </c>
      <c r="O20">
        <f>AVERAGEIFS(C3:C10,B3:B10,B4,D3:D10,"&gt;=3")</f>
        <v>75000</v>
      </c>
    </row>
    <row r="21" spans="13:18">
      <c r="M21">
        <v>5</v>
      </c>
      <c r="N21" t="s">
        <v>31</v>
      </c>
      <c r="O21">
        <f>COUNTIFS(C3:C10,"&gt;60000",D3:D10,"&gt;=3")</f>
        <v>3</v>
      </c>
    </row>
    <row r="22" spans="13:18">
      <c r="M22">
        <v>6</v>
      </c>
      <c r="N22" t="s">
        <v>32</v>
      </c>
      <c r="O22">
        <f>_xlfn.XLOOKUP(A9,A3:A10,C3:C10)</f>
        <v>65000</v>
      </c>
    </row>
    <row r="23" spans="13:18">
      <c r="M23">
        <v>7</v>
      </c>
      <c r="N23" s="12" t="s">
        <v>33</v>
      </c>
      <c r="O23" t="str">
        <f>_xlfn.XLOOKUP(A10,A3:A10,E3:E10)</f>
        <v>Bhopal</v>
      </c>
    </row>
    <row r="24" spans="13:18">
      <c r="M24">
        <v>8</v>
      </c>
      <c r="N24" s="12" t="s">
        <v>34</v>
      </c>
      <c r="O24">
        <f>INDEX(C3:C10,MATCH(A7,A3:A10,0))</f>
        <v>80000</v>
      </c>
    </row>
    <row r="25" spans="13:18">
      <c r="M25">
        <v>9</v>
      </c>
      <c r="N25" s="12" t="s">
        <v>35</v>
      </c>
      <c r="O25">
        <f>AVERAGEIFS(C3:C10,B3:B10,B3)</f>
        <v>61666.666666666664</v>
      </c>
    </row>
    <row r="26" spans="13:18">
      <c r="M26">
        <v>10</v>
      </c>
      <c r="N26" s="13" t="s">
        <v>36</v>
      </c>
      <c r="O26">
        <f>AVERAGEIFS(C3:C10,B3:B10,B4)</f>
        <v>71666.666666666672</v>
      </c>
    </row>
    <row r="27" spans="13:18">
      <c r="N27" s="11" cm="1">
        <f t="array" ref="N27:N29">AVERAGEIF(B3:B10,_xlfn.UNIQUE(B3:B10),C3:C10)</f>
        <v>61666.666666666664</v>
      </c>
      <c r="O27" s="11" cm="1">
        <f t="array" ref="O27:O29">AVERAGEIF(B3:B10,_xlfn.UNIQUE(B3:B10),C3:C10)</f>
        <v>61666.666666666664</v>
      </c>
      <c r="P27" s="11" t="s">
        <v>26</v>
      </c>
      <c r="Q27" s="11"/>
      <c r="R27" s="11"/>
    </row>
    <row r="28" spans="13:18">
      <c r="N28" s="11">
        <v>71666.666666666672</v>
      </c>
      <c r="O28" s="11">
        <v>71666.666666666672</v>
      </c>
      <c r="P28" s="11"/>
      <c r="Q28" s="11"/>
      <c r="R28" s="11"/>
    </row>
    <row r="29" spans="13:18">
      <c r="N29" s="11">
        <v>50000</v>
      </c>
      <c r="O29" s="11">
        <v>50000</v>
      </c>
      <c r="P29" s="11"/>
      <c r="Q29" s="11"/>
      <c r="R29" s="11"/>
    </row>
  </sheetData>
  <conditionalFormatting sqref="F3:F10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Excel Practice</vt:lpstr>
      <vt:lpstr>25 sep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SANGHARSH PRATAP SINGH</dc:creator>
  <cp:lastModifiedBy>SANGHARSH PRATAP SINGH</cp:lastModifiedBy>
  <dcterms:created xsi:type="dcterms:W3CDTF">2026-09-14T12:50:55Z</dcterms:created>
  <dcterms:modified xsi:type="dcterms:W3CDTF">2026-09-25T06:25:24Z</dcterms:modified>
</cp:coreProperties>
</file>